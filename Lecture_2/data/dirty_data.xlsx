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Sam Firke</author>
  </authors>
  <commentList>
    <comment ref="I2" authorId="0">
      <text>
        <r>
          <rPr>
            <sz val="10"/>
            <rFont val="Arial"/>
            <family val="2"/>
          </rPr>
          <t xml:space="preserve">Sam:
</t>
        </r>
        <r>
          <rPr>
            <sz val="9"/>
            <color rgb="FF000000"/>
            <rFont val="Tahoma"/>
            <family val="2"/>
            <charset val="1"/>
          </rPr>
          <t xml:space="preserve">Put alternate certifications in columns to right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28</xdr:colOff>
                <xdr:row>3</xdr:row>
                <xdr:rowOff>13</xdr:rowOff>
              </xdr:from>
              <xdr:to>
                <xdr:col>7</xdr:col>
                <xdr:colOff>90</xdr:colOff>
                <xdr:row>7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<sst xmlns="http://schemas.openxmlformats.org/spreadsheetml/2006/main" count="102" uniqueCount="55">
  <si>
    <t xml:space="preserve">Data most recently refreshed on:</t>
  </si>
  <si>
    <t xml:space="preserve">Dec-27 2020</t>
  </si>
  <si>
    <t xml:space="preserve">First Name</t>
  </si>
  <si>
    <t xml:space="preserve">Last Name</t>
  </si>
  <si>
    <t xml:space="preserve">Employee Status</t>
  </si>
  <si>
    <t xml:space="preserve">Subject</t>
  </si>
  <si>
    <t xml:space="preserve">Hire Date</t>
  </si>
  <si>
    <t xml:space="preserve">% Allocated</t>
  </si>
  <si>
    <t xml:space="preserve">Full time?</t>
  </si>
  <si>
    <t xml:space="preserve">do not edit! ---&gt;</t>
  </si>
  <si>
    <t xml:space="preserve">Certification</t>
  </si>
  <si>
    <t xml:space="preserve">Active?</t>
  </si>
  <si>
    <t xml:space="preserve">Jason</t>
  </si>
  <si>
    <t xml:space="preserve">Bourne</t>
  </si>
  <si>
    <t xml:space="preserve">Teacher</t>
  </si>
  <si>
    <t xml:space="preserve">PE</t>
  </si>
  <si>
    <t xml:space="preserve">Yes</t>
  </si>
  <si>
    <t xml:space="preserve">Physical ed</t>
  </si>
  <si>
    <t xml:space="preserve">Theater</t>
  </si>
  <si>
    <t xml:space="preserve">YES</t>
  </si>
  <si>
    <t xml:space="preserve">Drafting</t>
  </si>
  <si>
    <t xml:space="preserve">Alicia</t>
  </si>
  <si>
    <t xml:space="preserve">Keys</t>
  </si>
  <si>
    <t xml:space="preserve">Music</t>
  </si>
  <si>
    <t xml:space="preserve">Instr. music</t>
  </si>
  <si>
    <t xml:space="preserve">Vocal music</t>
  </si>
  <si>
    <t xml:space="preserve">Ada</t>
  </si>
  <si>
    <t xml:space="preserve">Lovelace</t>
  </si>
  <si>
    <t xml:space="preserve">PENDING</t>
  </si>
  <si>
    <t xml:space="preserve">Computers</t>
  </si>
  <si>
    <t xml:space="preserve">Desus</t>
  </si>
  <si>
    <t xml:space="preserve">Nice</t>
  </si>
  <si>
    <t xml:space="preserve">Administration</t>
  </si>
  <si>
    <t xml:space="preserve">Dean</t>
  </si>
  <si>
    <t xml:space="preserve">Chien-Shiung</t>
  </si>
  <si>
    <t xml:space="preserve">Wu</t>
  </si>
  <si>
    <t xml:space="preserve">Physics</t>
  </si>
  <si>
    <t xml:space="preserve">Science 6-12</t>
  </si>
  <si>
    <t xml:space="preserve">Chemistry</t>
  </si>
  <si>
    <t xml:space="preserve">James</t>
  </si>
  <si>
    <t xml:space="preserve">Joyce</t>
  </si>
  <si>
    <t xml:space="preserve">English</t>
  </si>
  <si>
    <t xml:space="preserve">No</t>
  </si>
  <si>
    <t xml:space="preserve">English 6-12</t>
  </si>
  <si>
    <t xml:space="preserve">Hedy</t>
  </si>
  <si>
    <t xml:space="preserve">Lamarr</t>
  </si>
  <si>
    <t xml:space="preserve">Science</t>
  </si>
  <si>
    <t xml:space="preserve">Carlos</t>
  </si>
  <si>
    <t xml:space="preserve">Boozer</t>
  </si>
  <si>
    <t xml:space="preserve">Coach</t>
  </si>
  <si>
    <t xml:space="preserve">Basketball</t>
  </si>
  <si>
    <t xml:space="preserve">Young</t>
  </si>
  <si>
    <t xml:space="preserve">Political sci.</t>
  </si>
  <si>
    <t xml:space="preserve">Micheal</t>
  </si>
  <si>
    <t xml:space="preserve">Larsen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</si>
</sst>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3"/>
      <name val="Calibri"/>
      <family val="2"/>
      <charset val="1"/>
    </font>
    <font>
      <sz val="14"/>
      <color rgb="FF7030A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206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99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7030A0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0.91"/>
    <col collapsed="false" customWidth="true" hidden="false" outlineLevel="0" max="2" min="2" style="0" width="9.18"/>
    <col collapsed="false" customWidth="true" hidden="false" outlineLevel="0" max="3" min="3" style="0" width="18.18"/>
    <col collapsed="false" customWidth="true" hidden="false" outlineLevel="0" max="4" min="4" style="0" width="13.91"/>
    <col collapsed="false" customWidth="true" hidden="false" outlineLevel="0" max="5" min="5" style="0" width="9.45"/>
    <col collapsed="false" customWidth="true" hidden="false" outlineLevel="0" max="6" min="6" style="0" width="10.18"/>
    <col collapsed="false" customWidth="true" hidden="false" outlineLevel="0" max="8" min="8" style="0" width="13.09"/>
    <col collapsed="false" customWidth="true" hidden="false" outlineLevel="0" max="10" min="9" style="0" width="10.63"/>
    <col collapsed="false" customWidth="true" hidden="false" outlineLevel="0" max="11" min="11" style="0" width="10.27"/>
  </cols>
  <sheetData>
    <row r="1" customFormat="false" ht="18.55" hidden="false" customHeight="false" outlineLevel="0" collapsed="false">
      <c r="A1" s="1" t="s">
        <v>0</v>
      </c>
      <c r="B1" s="1"/>
      <c r="C1" s="1"/>
      <c r="D1" s="2" t="s">
        <v>1</v>
      </c>
    </row>
    <row r="2" s="5" customFormat="true" ht="14.2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 t="s">
        <v>9</v>
      </c>
      <c r="I2" s="3" t="s">
        <v>10</v>
      </c>
      <c r="J2" s="3" t="s">
        <v>10</v>
      </c>
      <c r="K2" s="3" t="s">
        <v>11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6" t="n">
        <v>39690</v>
      </c>
      <c r="F3" s="7" t="n">
        <v>0.75</v>
      </c>
      <c r="G3" s="8" t="s">
        <v>16</v>
      </c>
      <c r="H3" s="9"/>
      <c r="I3" s="0" t="s">
        <v>17</v>
      </c>
      <c r="J3" s="0" t="s">
        <v>18</v>
      </c>
      <c r="K3" s="0" t="s">
        <v>19</v>
      </c>
      <c r="L3" s="10"/>
    </row>
    <row r="4" customFormat="false" ht="14.2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20</v>
      </c>
      <c r="E4" s="11" t="n">
        <v>43479</v>
      </c>
      <c r="F4" s="7" t="n">
        <v>0.25</v>
      </c>
      <c r="G4" s="8" t="s">
        <v>16</v>
      </c>
      <c r="H4" s="9"/>
      <c r="I4" s="0" t="s">
        <v>17</v>
      </c>
      <c r="J4" s="0" t="s">
        <v>18</v>
      </c>
      <c r="K4" s="0" t="s">
        <v>19</v>
      </c>
      <c r="L4" s="10"/>
    </row>
    <row r="5" customFormat="false" ht="14.25" hidden="false" customHeight="false" outlineLevel="0" collapsed="false">
      <c r="A5" s="0" t="s">
        <v>21</v>
      </c>
      <c r="B5" s="0" t="s">
        <v>22</v>
      </c>
      <c r="C5" s="0" t="s">
        <v>14</v>
      </c>
      <c r="D5" s="0" t="s">
        <v>23</v>
      </c>
      <c r="E5" s="11" t="n">
        <v>37118</v>
      </c>
      <c r="F5" s="7" t="n">
        <v>1</v>
      </c>
      <c r="G5" s="12" t="s">
        <v>16</v>
      </c>
      <c r="H5" s="9"/>
      <c r="I5" s="0" t="s">
        <v>24</v>
      </c>
      <c r="J5" s="0" t="s">
        <v>25</v>
      </c>
      <c r="K5" s="0" t="s">
        <v>19</v>
      </c>
      <c r="L5" s="10"/>
    </row>
    <row r="6" customFormat="false" ht="14.25" hidden="false" customHeight="false" outlineLevel="0" collapsed="false">
      <c r="A6" s="0" t="s">
        <v>26</v>
      </c>
      <c r="B6" s="0" t="s">
        <v>27</v>
      </c>
      <c r="C6" s="0" t="s">
        <v>14</v>
      </c>
      <c r="D6" s="0" t="e">
        <f aca="false">MAX(#ref!)</f>
        <v>#NAME?</v>
      </c>
      <c r="E6" s="6" t="n">
        <v>38572</v>
      </c>
      <c r="F6" s="7" t="n">
        <v>1</v>
      </c>
      <c r="G6" s="12" t="s">
        <v>16</v>
      </c>
      <c r="H6" s="9"/>
      <c r="I6" s="0" t="s">
        <v>28</v>
      </c>
      <c r="J6" s="0" t="s">
        <v>29</v>
      </c>
      <c r="K6" s="0" t="s">
        <v>19</v>
      </c>
      <c r="L6" s="10"/>
    </row>
    <row r="7" customFormat="false" ht="14.25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11" t="n">
        <v>42791</v>
      </c>
      <c r="F7" s="7" t="n">
        <v>1</v>
      </c>
      <c r="G7" s="12" t="s">
        <v>16</v>
      </c>
      <c r="H7" s="9"/>
      <c r="I7" s="0" t="s">
        <v>28</v>
      </c>
      <c r="K7" s="0" t="s">
        <v>19</v>
      </c>
      <c r="L7" s="10"/>
    </row>
    <row r="8" customFormat="false" ht="14.25" hidden="false" customHeight="false" outlineLevel="0" collapsed="false">
      <c r="A8" s="0" t="s">
        <v>34</v>
      </c>
      <c r="B8" s="0" t="s">
        <v>35</v>
      </c>
      <c r="C8" s="0" t="s">
        <v>14</v>
      </c>
      <c r="D8" s="0" t="s">
        <v>36</v>
      </c>
      <c r="E8" s="6" t="n">
        <v>11037</v>
      </c>
      <c r="F8" s="7" t="n">
        <v>0.5</v>
      </c>
      <c r="G8" s="12" t="s">
        <v>16</v>
      </c>
      <c r="H8" s="9"/>
      <c r="I8" s="0" t="s">
        <v>37</v>
      </c>
      <c r="J8" s="0" t="s">
        <v>36</v>
      </c>
      <c r="K8" s="0" t="s">
        <v>19</v>
      </c>
      <c r="L8" s="10"/>
    </row>
    <row r="9" customFormat="false" ht="14.25" hidden="false" customHeight="false" outlineLevel="0" collapsed="false">
      <c r="A9" s="0" t="s">
        <v>34</v>
      </c>
      <c r="B9" s="0" t="s">
        <v>35</v>
      </c>
      <c r="C9" s="0" t="s">
        <v>14</v>
      </c>
      <c r="D9" s="0" t="s">
        <v>38</v>
      </c>
      <c r="E9" s="6" t="n">
        <v>11037</v>
      </c>
      <c r="F9" s="7" t="n">
        <v>0.5</v>
      </c>
      <c r="G9" s="12" t="s">
        <v>16</v>
      </c>
      <c r="H9" s="9"/>
      <c r="I9" s="0" t="s">
        <v>37</v>
      </c>
      <c r="J9" s="0" t="s">
        <v>36</v>
      </c>
      <c r="K9" s="0" t="s">
        <v>19</v>
      </c>
      <c r="L9" s="10"/>
    </row>
    <row r="10" s="13" customFormat="true" ht="14.25" hidden="false" customHeight="false" outlineLevel="0" collapsed="false">
      <c r="E10" s="14"/>
      <c r="L10" s="15"/>
    </row>
    <row r="11" customFormat="false" ht="14.25" hidden="false" customHeight="false" outlineLevel="0" collapsed="false">
      <c r="A11" s="0" t="s">
        <v>39</v>
      </c>
      <c r="B11" s="0" t="s">
        <v>40</v>
      </c>
      <c r="C11" s="0" t="s">
        <v>14</v>
      </c>
      <c r="D11" s="0" t="s">
        <v>41</v>
      </c>
      <c r="E11" s="11" t="n">
        <v>36423</v>
      </c>
      <c r="F11" s="7" t="n">
        <v>0.5</v>
      </c>
      <c r="G11" s="16" t="s">
        <v>42</v>
      </c>
      <c r="H11" s="9"/>
      <c r="J11" s="0" t="s">
        <v>43</v>
      </c>
      <c r="K11" s="0" t="s">
        <v>19</v>
      </c>
      <c r="L11" s="10"/>
    </row>
    <row r="12" customFormat="false" ht="14.25" hidden="false" customHeight="false" outlineLevel="0" collapsed="false">
      <c r="A12" s="0" t="s">
        <v>44</v>
      </c>
      <c r="B12" s="0" t="s">
        <v>45</v>
      </c>
      <c r="C12" s="0" t="s">
        <v>14</v>
      </c>
      <c r="D12" s="0" t="s">
        <v>46</v>
      </c>
      <c r="E12" s="6" t="n">
        <v>27919</v>
      </c>
      <c r="F12" s="7" t="n">
        <v>0.5</v>
      </c>
      <c r="G12" s="16" t="s">
        <v>42</v>
      </c>
      <c r="H12" s="9"/>
      <c r="I12" s="0" t="s">
        <v>28</v>
      </c>
      <c r="K12" s="0" t="s">
        <v>19</v>
      </c>
      <c r="L12" s="10"/>
    </row>
    <row r="13" customFormat="false" ht="14.25" hidden="false" customHeight="false" outlineLevel="0" collapsed="false">
      <c r="A13" s="0" t="s">
        <v>47</v>
      </c>
      <c r="B13" s="0" t="s">
        <v>48</v>
      </c>
      <c r="C13" s="0" t="s">
        <v>49</v>
      </c>
      <c r="D13" s="0" t="s">
        <v>50</v>
      </c>
      <c r="E13" s="6" t="n">
        <v>42221</v>
      </c>
      <c r="F13" s="0" t="e">
        <f aca="false">VLOOKUP(A13,M:M,2, FALSE())</f>
        <v>#VALUE!</v>
      </c>
      <c r="G13" s="16" t="s">
        <v>42</v>
      </c>
      <c r="H13" s="9"/>
      <c r="I13" s="0" t="s">
        <v>17</v>
      </c>
      <c r="K13" s="0" t="s">
        <v>19</v>
      </c>
      <c r="L13" s="10"/>
    </row>
    <row r="14" customFormat="false" ht="14.25" hidden="false" customHeight="false" outlineLevel="0" collapsed="false">
      <c r="A14" s="0" t="s">
        <v>51</v>
      </c>
      <c r="B14" s="0" t="s">
        <v>48</v>
      </c>
      <c r="C14" s="0" t="s">
        <v>49</v>
      </c>
      <c r="E14" s="6" t="n">
        <v>34700</v>
      </c>
      <c r="F14" s="0" t="e">
        <f aca="false">VLOOKUP(A14,M:M,2, FALSE())</f>
        <v>#VALUE!</v>
      </c>
      <c r="G14" s="16" t="s">
        <v>42</v>
      </c>
      <c r="H14" s="9"/>
      <c r="J14" s="0" t="s">
        <v>52</v>
      </c>
      <c r="K14" s="0" t="s">
        <v>19</v>
      </c>
      <c r="L14" s="10"/>
    </row>
    <row r="15" customFormat="false" ht="14.25" hidden="false" customHeight="false" outlineLevel="0" collapsed="false">
      <c r="A15" s="0" t="s">
        <v>53</v>
      </c>
      <c r="B15" s="0" t="s">
        <v>54</v>
      </c>
      <c r="C15" s="0" t="s">
        <v>14</v>
      </c>
      <c r="D15" s="0" t="s">
        <v>41</v>
      </c>
      <c r="E15" s="6" t="n">
        <v>40071</v>
      </c>
      <c r="F15" s="7" t="n">
        <v>0.8</v>
      </c>
      <c r="G15" s="16" t="s">
        <v>42</v>
      </c>
      <c r="H15" s="9"/>
      <c r="I15" s="0" t="s">
        <v>25</v>
      </c>
      <c r="J15" s="0" t="s">
        <v>41</v>
      </c>
      <c r="K15" s="0" t="s">
        <v>19</v>
      </c>
      <c r="L15" s="10"/>
    </row>
    <row r="16" customFormat="false" ht="14.25" hidden="false" customHeight="false" outlineLevel="0" collapsed="false">
      <c r="H16" s="9"/>
    </row>
    <row r="17" customFormat="false" ht="14.25" hidden="false" customHeight="false" outlineLevel="0" collapsed="false">
      <c r="H17" s="9"/>
    </row>
    <row r="18" customFormat="false" ht="14.25" hidden="false" customHeight="false" outlineLevel="0" collapsed="false">
      <c r="H18" s="9"/>
    </row>
    <row r="19" customFormat="false" ht="14.25" hidden="false" customHeight="false" outlineLevel="0" collapsed="false">
      <c r="H19" s="9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2016-09-29T13:43:16Z</dcterms:created>
  <dc:creator>Sam Firke</dc:creator>
  <dc:description/>
  <dc:language>en-GB</dc:language>
  <cp:lastModifiedBy>Sam Firke</cp:lastModifiedBy>
  <dcterms:modified xsi:type="dcterms:W3CDTF">2020-12-27T23:44:18Z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